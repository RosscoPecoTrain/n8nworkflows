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44fa37786a9e03b/Documents/EOG/timesheets/20xx.xx.xx/"/>
    </mc:Choice>
  </mc:AlternateContent>
  <xr:revisionPtr revIDLastSave="302" documentId="13_ncr:1_{2BD864B7-116F-42B9-B289-C9F3955C86A7}" xr6:coauthVersionLast="47" xr6:coauthVersionMax="47" xr10:uidLastSave="{9485FABE-8D5F-4381-9B19-92A469A9F22C}"/>
  <bookViews>
    <workbookView xWindow="-108" yWindow="-108" windowWidth="23256" windowHeight="12456" firstSheet="1" activeTab="1" xr2:uid="{00000000-000D-0000-FFFF-FFFF00000000}"/>
  </bookViews>
  <sheets>
    <sheet name="Lists" sheetId="9" state="hidden" r:id="rId1"/>
    <sheet name="Timesheet" sheetId="8" r:id="rId2"/>
  </sheets>
  <externalReferences>
    <externalReference r:id="rId3"/>
  </externalReferences>
  <definedNames>
    <definedName name="AccountName">[1]Account!$A$2:$A$30</definedName>
    <definedName name="Company">[1]Company!$A$2:$A$7</definedName>
    <definedName name="EmployeeName">[1]Employee!$A$2:$A$6</definedName>
    <definedName name="ExpenseType">Lists!$D$2:$D$39</definedName>
    <definedName name="InternalActivity">Lists!$C$2:$C$31</definedName>
    <definedName name="Month">Lists!$E$2:$E$13</definedName>
    <definedName name="PaymentMethod">Lists!$B$2:$B$4</definedName>
    <definedName name="Period">Lists!$G$2:$G$3</definedName>
    <definedName name="_xlnm.Print_Area" localSheetId="1">Timesheet!$A$1:$J$27</definedName>
    <definedName name="WorkType">Lists!$A$2:$A$3</definedName>
    <definedName name="Year">Lists!$H$2:$H$6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8" l="1"/>
  <c r="D10" i="8"/>
  <c r="E10" i="8"/>
  <c r="F10" i="8"/>
  <c r="G10" i="8"/>
  <c r="H10" i="8"/>
  <c r="I10" i="8"/>
  <c r="H11" i="8"/>
  <c r="G11" i="8"/>
  <c r="F11" i="8"/>
  <c r="E11" i="8"/>
  <c r="D11" i="8"/>
  <c r="C11" i="8"/>
  <c r="C10" i="8"/>
  <c r="J18" i="8"/>
  <c r="J17" i="8"/>
  <c r="J16" i="8"/>
  <c r="J15" i="8"/>
  <c r="J14" i="8"/>
  <c r="J13" i="8"/>
  <c r="J12" i="8"/>
</calcChain>
</file>

<file path=xl/sharedStrings.xml><?xml version="1.0" encoding="utf-8"?>
<sst xmlns="http://schemas.openxmlformats.org/spreadsheetml/2006/main" count="118" uniqueCount="117">
  <si>
    <t>Work Type</t>
  </si>
  <si>
    <t>Payment Method</t>
  </si>
  <si>
    <t>InternalActivity</t>
  </si>
  <si>
    <t>ExpenseType</t>
  </si>
  <si>
    <t>Months</t>
  </si>
  <si>
    <t># Months</t>
  </si>
  <si>
    <t>Period</t>
  </si>
  <si>
    <t>Year</t>
  </si>
  <si>
    <t>#Day</t>
  </si>
  <si>
    <t>Days</t>
  </si>
  <si>
    <t>Client Work / Internal Initiative (code beginning with "I0")</t>
  </si>
  <si>
    <t>Direct Billed</t>
  </si>
  <si>
    <t>Third Friday</t>
  </si>
  <si>
    <t>Airfare - Domestic</t>
  </si>
  <si>
    <t>Jan</t>
  </si>
  <si>
    <t>Start on 1st</t>
  </si>
  <si>
    <t>Sun</t>
  </si>
  <si>
    <t>Internal Activity</t>
  </si>
  <si>
    <t>Out of Pocket (No Receipts)</t>
  </si>
  <si>
    <t>All Hands Meeting</t>
  </si>
  <si>
    <t>Airfare - International</t>
  </si>
  <si>
    <t>Feb</t>
  </si>
  <si>
    <t>Start on 16th</t>
  </si>
  <si>
    <t>Mon</t>
  </si>
  <si>
    <t>Out of Pocket (With Receipts)</t>
  </si>
  <si>
    <t>Approved Absence</t>
  </si>
  <si>
    <t>Books</t>
  </si>
  <si>
    <t>Mar</t>
  </si>
  <si>
    <t>Tue</t>
  </si>
  <si>
    <t>Bench</t>
  </si>
  <si>
    <t>Bus/Train/Ferry</t>
  </si>
  <si>
    <t>Apr</t>
  </si>
  <si>
    <t>Wed</t>
  </si>
  <si>
    <t>Career Counseling</t>
  </si>
  <si>
    <t>Car Rental</t>
  </si>
  <si>
    <t>May</t>
  </si>
  <si>
    <t>Thu</t>
  </si>
  <si>
    <t>Client Pursuit and Dev</t>
  </si>
  <si>
    <t>Car/Limo Service</t>
  </si>
  <si>
    <t>Jun</t>
  </si>
  <si>
    <t>Fri</t>
  </si>
  <si>
    <t>Campus Recruiting</t>
  </si>
  <si>
    <t>Client Entertainment</t>
  </si>
  <si>
    <t>Jul</t>
  </si>
  <si>
    <t>Sat</t>
  </si>
  <si>
    <t>Executive Search Recruiting</t>
  </si>
  <si>
    <t>Computer Supplies</t>
  </si>
  <si>
    <t>Aug</t>
  </si>
  <si>
    <t>General Admin and Acc</t>
  </si>
  <si>
    <t>Conference Fees</t>
  </si>
  <si>
    <t>Sep</t>
  </si>
  <si>
    <t>Holiday</t>
  </si>
  <si>
    <t>Courier / Overnight mail</t>
  </si>
  <si>
    <t>Oct</t>
  </si>
  <si>
    <t>Human Resource Dev</t>
  </si>
  <si>
    <t>Gifts - Marketing / Client</t>
  </si>
  <si>
    <t>Nov</t>
  </si>
  <si>
    <t>Internal Meetings</t>
  </si>
  <si>
    <t>Internet Connectivity</t>
  </si>
  <si>
    <t>Dec</t>
  </si>
  <si>
    <t>Industry Recruiting</t>
  </si>
  <si>
    <t>Lodging</t>
  </si>
  <si>
    <t>International Travel Allowance</t>
  </si>
  <si>
    <t>Meals - Actuals</t>
  </si>
  <si>
    <t>ITL Cross Charge</t>
  </si>
  <si>
    <t>Meals - Client</t>
  </si>
  <si>
    <t>Jury Duty</t>
  </si>
  <si>
    <t>Meals - Per Diem(US-Breakfast)</t>
  </si>
  <si>
    <t>Marketing</t>
  </si>
  <si>
    <t>Meals - Per Diem(US-Dinner)</t>
  </si>
  <si>
    <t>Paid Leave (Need HR OK)</t>
  </si>
  <si>
    <t>Meals - Per Diem(US-Full Day)</t>
  </si>
  <si>
    <t>Practice Development</t>
  </si>
  <si>
    <t>Meals - Per Diem(US-Lunch)</t>
  </si>
  <si>
    <t>Perf Recofnition and Reward</t>
  </si>
  <si>
    <t>Meals - Team/Non-Client</t>
  </si>
  <si>
    <t>Paid Time Off</t>
  </si>
  <si>
    <t>Membership Dues</t>
  </si>
  <si>
    <t>Recruiting</t>
  </si>
  <si>
    <t>Mileage - Europe</t>
  </si>
  <si>
    <t>Sick Leave (EU Only)</t>
  </si>
  <si>
    <t>Mileage - India</t>
  </si>
  <si>
    <t>Thought Leadership Dev</t>
  </si>
  <si>
    <t>Mileage - UK</t>
  </si>
  <si>
    <t>Training</t>
  </si>
  <si>
    <t>Mileage - United States</t>
  </si>
  <si>
    <t>Travel Time</t>
  </si>
  <si>
    <t>Micellaneous</t>
  </si>
  <si>
    <t>Unpaid Leave (Need HR OK)</t>
  </si>
  <si>
    <t>Office Supplies</t>
  </si>
  <si>
    <t>Year-end Feedback</t>
  </si>
  <si>
    <t>Parking - Airport</t>
  </si>
  <si>
    <t>Eng Util Credit</t>
  </si>
  <si>
    <t>Parking - Other</t>
  </si>
  <si>
    <t>Eng No Util Credit</t>
  </si>
  <si>
    <t>Printing - External</t>
  </si>
  <si>
    <t>Subscriptions</t>
  </si>
  <si>
    <t>Taxi Fare</t>
  </si>
  <si>
    <t>Telephone - Business</t>
  </si>
  <si>
    <t>Telephone - Calling Card</t>
  </si>
  <si>
    <t>Telephone - Cellular</t>
  </si>
  <si>
    <t>Tolls</t>
  </si>
  <si>
    <t>Travel agency charge</t>
  </si>
  <si>
    <t>Visa related expenses</t>
  </si>
  <si>
    <t>Name:</t>
  </si>
  <si>
    <t>Ross Nanton</t>
  </si>
  <si>
    <t>Department:</t>
  </si>
  <si>
    <t>IS</t>
  </si>
  <si>
    <t>Client:</t>
  </si>
  <si>
    <t>EOG Resources, Inc.</t>
  </si>
  <si>
    <t>Week - Ending Date:</t>
  </si>
  <si>
    <t>(always a Sunday)</t>
  </si>
  <si>
    <t>Total Hours Worked</t>
  </si>
  <si>
    <t>I certify that the information provided above is an accurate record of time worked by me.</t>
  </si>
  <si>
    <t>Employee/Contractor Signature</t>
  </si>
  <si>
    <t>Authorization Signature - Client (if necessary)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</si>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</sst>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;@"/>
    <numFmt numFmtId="165" formatCode="[$-409]dddd"/>
    <numFmt numFmtId="166" formatCode="[$-409]\ mm/dd/yyyy"/>
  </numFmts>
  <fonts count="8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Book Antiqua"/>
      <family val="1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4" tint="0.79998168889431442"/>
        <bgColor indexed="65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1" fillId="4" borderId="0" applyNumberFormat="0" applyBorder="0" applyAlignment="0" applyProtection="0"/>
  </cellStyleXfs>
  <cellXfs count="38">
    <xf numFmtId="0" fontId="0" fillId="0" borderId="0" xfId="0"/>
    <xf numFmtId="0" fontId="2" fillId="2" borderId="0" xfId="0" applyFont="1" applyFill="1" applyAlignment="1">
      <alignment vertical="center"/>
    </xf>
    <xf numFmtId="0" fontId="5" fillId="0" borderId="0" xfId="0" applyFont="1"/>
    <xf numFmtId="0" fontId="5" fillId="0" borderId="0" xfId="0" applyFont="1" applyAlignment="1" applyProtection="1">
      <alignment horizontal="left"/>
      <protection locked="0"/>
    </xf>
    <xf numFmtId="0" fontId="5" fillId="0" borderId="0" xfId="0" applyFont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5" fillId="0" borderId="1" xfId="0" applyFont="1" applyBorder="1" applyAlignment="1" applyProtection="1">
      <alignment horizontal="right"/>
      <protection locked="0"/>
    </xf>
    <xf numFmtId="44" fontId="4" fillId="0" borderId="0" xfId="0" applyNumberFormat="1" applyFont="1" applyAlignment="1" applyProtection="1">
      <alignment horizontal="right"/>
      <protection locked="0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/>
    <xf numFmtId="2" fontId="0" fillId="0" borderId="2" xfId="0" applyNumberFormat="1" applyBorder="1" applyAlignment="1">
      <alignment horizontal="center"/>
    </xf>
    <xf numFmtId="2" fontId="0" fillId="0" borderId="2" xfId="0" applyNumberFormat="1" applyBorder="1"/>
    <xf numFmtId="0" fontId="4" fillId="3" borderId="2" xfId="0" applyFont="1" applyFill="1" applyBorder="1" applyAlignment="1" applyProtection="1">
      <alignment horizontal="center"/>
      <protection locked="0"/>
    </xf>
    <xf numFmtId="2" fontId="3" fillId="3" borderId="2" xfId="0" applyNumberFormat="1" applyFont="1" applyFill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left"/>
      <protection locked="0"/>
    </xf>
    <xf numFmtId="164" fontId="0" fillId="0" borderId="1" xfId="0" applyNumberFormat="1" applyBorder="1" applyAlignment="1" applyProtection="1">
      <alignment horizontal="left"/>
      <protection locked="0"/>
    </xf>
    <xf numFmtId="0" fontId="0" fillId="0" borderId="1" xfId="0" applyBorder="1" applyAlignment="1">
      <alignment horizontal="left"/>
    </xf>
    <xf numFmtId="44" fontId="1" fillId="4" borderId="2" xfId="2" applyNumberFormat="1" applyBorder="1" applyAlignment="1" applyProtection="1">
      <alignment horizontal="center" vertical="center" wrapText="1"/>
      <protection locked="0"/>
    </xf>
    <xf numFmtId="44" fontId="1" fillId="4" borderId="4" xfId="2" applyNumberFormat="1" applyBorder="1" applyAlignment="1" applyProtection="1">
      <alignment horizontal="center" vertical="center" wrapText="1"/>
      <protection locked="0"/>
    </xf>
    <xf numFmtId="165" fontId="7" fillId="4" borderId="2" xfId="2" applyNumberFormat="1" applyFont="1" applyBorder="1" applyAlignment="1">
      <alignment horizontal="center" vertical="center" wrapText="1"/>
    </xf>
    <xf numFmtId="166" fontId="7" fillId="4" borderId="2" xfId="2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right"/>
    </xf>
    <xf numFmtId="0" fontId="3" fillId="0" borderId="1" xfId="0" applyFont="1" applyBorder="1" applyAlignment="1" applyProtection="1">
      <alignment horizontal="left"/>
      <protection locked="0"/>
    </xf>
    <xf numFmtId="0" fontId="3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>
      <alignment horizontal="right"/>
    </xf>
    <xf numFmtId="0" fontId="3" fillId="0" borderId="0" xfId="0" applyFont="1" applyAlignment="1" applyProtection="1">
      <alignment horizontal="right"/>
      <protection locked="0"/>
    </xf>
    <xf numFmtId="0" fontId="3" fillId="0" borderId="0" xfId="0" applyFont="1" applyAlignment="1" applyProtection="1">
      <alignment horizontal="center"/>
      <protection locked="0"/>
    </xf>
    <xf numFmtId="0" fontId="3" fillId="0" borderId="0" xfId="0" applyFont="1" applyAlignment="1">
      <alignment horizontal="left"/>
    </xf>
    <xf numFmtId="0" fontId="3" fillId="0" borderId="0" xfId="0" applyFont="1" applyAlignment="1" applyProtection="1">
      <alignment horizontal="left"/>
      <protection locked="0"/>
    </xf>
    <xf numFmtId="2" fontId="3" fillId="0" borderId="3" xfId="0" applyNumberFormat="1" applyFont="1" applyBorder="1"/>
    <xf numFmtId="43" fontId="3" fillId="0" borderId="4" xfId="1" applyFont="1" applyBorder="1" applyAlignment="1" applyProtection="1">
      <alignment horizontal="right"/>
      <protection locked="0"/>
    </xf>
    <xf numFmtId="164" fontId="3" fillId="0" borderId="2" xfId="0" applyNumberFormat="1" applyFont="1" applyBorder="1"/>
    <xf numFmtId="0" fontId="3" fillId="0" borderId="2" xfId="0" applyFont="1" applyBorder="1" applyAlignment="1">
      <alignment horizontal="left"/>
    </xf>
    <xf numFmtId="0" fontId="1" fillId="4" borderId="5" xfId="2" applyBorder="1" applyAlignment="1" applyProtection="1">
      <alignment horizontal="center" vertical="center"/>
      <protection locked="0"/>
    </xf>
    <xf numFmtId="0" fontId="1" fillId="4" borderId="5" xfId="2" applyBorder="1" applyAlignment="1">
      <alignment horizontal="center" vertical="center"/>
    </xf>
    <xf numFmtId="0" fontId="6" fillId="4" borderId="0" xfId="2" applyFont="1" applyAlignment="1" applyProtection="1">
      <alignment horizontal="center" vertical="center"/>
      <protection locked="0"/>
    </xf>
  </cellXfs>
  <cellStyles count="3">
    <cellStyle name="20% - Accent1" xfId="2" builtinId="30"/>
    <cellStyle name="Comma" xfId="1" builtinId="3"/>
    <cellStyle name="Normal" xfId="0" builtinId="0"/>
  </cellStyles>
  <dxfs count="7">
    <dxf>
      <font>
        <strike val="0"/>
        <condense val="0"/>
        <extend val="0"/>
        <color indexed="10"/>
      </font>
      <fill>
        <patternFill>
          <bgColor indexed="11"/>
        </patternFill>
      </fill>
    </dxf>
    <dxf>
      <font>
        <strike val="0"/>
        <condense val="0"/>
        <extend val="0"/>
        <color indexed="9"/>
      </font>
      <fill>
        <patternFill>
          <bgColor indexed="8"/>
        </patternFill>
      </fill>
    </dxf>
    <dxf>
      <font>
        <strike val="0"/>
        <condense val="0"/>
        <extend val="0"/>
        <color indexed="10"/>
      </font>
      <fill>
        <patternFill>
          <bgColor indexed="11"/>
        </patternFill>
      </fill>
    </dxf>
    <dxf>
      <font>
        <strike val="0"/>
        <condense val="0"/>
        <extend val="0"/>
        <color indexed="9"/>
      </font>
      <fill>
        <patternFill>
          <bgColor indexed="8"/>
        </patternFill>
      </fill>
    </dxf>
    <dxf>
      <font>
        <strike val="0"/>
        <condense val="0"/>
        <extend val="0"/>
        <color indexed="10"/>
      </font>
      <fill>
        <patternFill>
          <bgColor indexed="11"/>
        </patternFill>
      </fill>
    </dxf>
    <dxf>
      <font>
        <strike val="0"/>
        <condense val="0"/>
        <extend val="0"/>
        <color indexed="10"/>
      </font>
      <fill>
        <patternFill>
          <bgColor indexed="11"/>
        </patternFill>
      </fill>
    </dxf>
    <dxf>
      <font>
        <strike val="0"/>
        <condense val="0"/>
        <extend val="0"/>
        <color indexed="9"/>
      </font>
      <fill>
        <patternFill>
          <bgColor indexed="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552450</xdr:colOff>
      <xdr:row>178</xdr:row>
      <xdr:rowOff>114300</xdr:rowOff>
    </xdr:from>
    <xdr:to>
      <xdr:col>13</xdr:col>
      <xdr:colOff>133350</xdr:colOff>
      <xdr:row>184</xdr:row>
      <xdr:rowOff>114300</xdr:rowOff>
    </xdr:to>
    <xdr:pic>
      <xdr:nvPicPr>
        <xdr:cNvPr id="2159" name="Picture 3">
          <a:extLst>
            <a:ext uri="{FF2B5EF4-FFF2-40B4-BE49-F238E27FC236}">
              <a16:creationId xmlns:a16="http://schemas.microsoft.com/office/drawing/2014/main" id="{32E7A24B-D173-4C58-B704-CF1BF959B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45075" y="29222700"/>
          <a:ext cx="1323975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ogresources1-my.sharepoint.com/Users/Joseph.J.Rose/AppData/Local/Microsoft/Windows/Temporary%20Internet%20Files/Content.Outlook/3EOXU1OT/Imperastaff%20Internal%20Expense%20Repor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ense Report"/>
      <sheetName val="Employee"/>
      <sheetName val="Company"/>
      <sheetName val="Account"/>
    </sheetNames>
    <sheetDataSet>
      <sheetData sheetId="0"/>
      <sheetData sheetId="1">
        <row r="2">
          <cell r="A2" t="str">
            <v>Jason Bodie</v>
          </cell>
        </row>
        <row r="3">
          <cell r="A3" t="str">
            <v>Lea Christner</v>
          </cell>
        </row>
        <row r="4">
          <cell r="A4" t="str">
            <v>Michael Cross</v>
          </cell>
        </row>
        <row r="5">
          <cell r="A5" t="str">
            <v>Michelle Siwierka</v>
          </cell>
        </row>
        <row r="6">
          <cell r="A6" t="str">
            <v>Jeff Thacker</v>
          </cell>
        </row>
      </sheetData>
      <sheetData sheetId="2">
        <row r="2">
          <cell r="A2" t="str">
            <v>Apache</v>
          </cell>
        </row>
        <row r="3">
          <cell r="A3" t="str">
            <v>Cerulean Solutions</v>
          </cell>
        </row>
        <row r="4">
          <cell r="A4" t="str">
            <v>Corporate Staffing</v>
          </cell>
        </row>
        <row r="5">
          <cell r="A5" t="str">
            <v>Global Managed Services</v>
          </cell>
        </row>
        <row r="6">
          <cell r="A6" t="str">
            <v>GulfCoast Business Credit</v>
          </cell>
        </row>
        <row r="7">
          <cell r="A7" t="str">
            <v>Shell</v>
          </cell>
        </row>
      </sheetData>
      <sheetData sheetId="3">
        <row r="2">
          <cell r="A2" t="str">
            <v>Advertising and Promotion</v>
          </cell>
        </row>
        <row r="3">
          <cell r="A3" t="str">
            <v>Automobile Expense:Automobile Expense - Allowance</v>
          </cell>
        </row>
        <row r="4">
          <cell r="A4" t="str">
            <v>Automobile Expense:Automobile Expense - Park/toll</v>
          </cell>
        </row>
        <row r="5">
          <cell r="A5" t="str">
            <v>Business Licenses and Permits</v>
          </cell>
        </row>
        <row r="6">
          <cell r="A6" t="str">
            <v>Charitable Contributions</v>
          </cell>
        </row>
        <row r="7">
          <cell r="A7" t="str">
            <v>Computer and Internet Expenses</v>
          </cell>
        </row>
        <row r="8">
          <cell r="A8" t="str">
            <v>Computer Repairs</v>
          </cell>
        </row>
        <row r="9">
          <cell r="A9" t="str">
            <v>Continuing Education</v>
          </cell>
        </row>
        <row r="10">
          <cell r="A10" t="str">
            <v>Draws - Jason Bodie</v>
          </cell>
        </row>
        <row r="11">
          <cell r="A11" t="str">
            <v>Draws - Lea Christner</v>
          </cell>
        </row>
        <row r="12">
          <cell r="A12" t="str">
            <v>Dues and Subscriptions</v>
          </cell>
        </row>
        <row r="13">
          <cell r="A13" t="str">
            <v>Insurance Expense:General Liability Insurance</v>
          </cell>
        </row>
        <row r="14">
          <cell r="A14" t="str">
            <v>Insurance Expense:Health Insurance</v>
          </cell>
        </row>
        <row r="15">
          <cell r="A15" t="str">
            <v>Insurance Expense:Life and Disability Insurance</v>
          </cell>
        </row>
        <row r="16">
          <cell r="A16" t="str">
            <v>Insurance Expense:Professional Liability</v>
          </cell>
        </row>
        <row r="17">
          <cell r="A17" t="str">
            <v>Insurance Expense:Worker's Comp Insurance</v>
          </cell>
        </row>
        <row r="18">
          <cell r="A18" t="str">
            <v>Job Boards</v>
          </cell>
        </row>
        <row r="19">
          <cell r="A19" t="str">
            <v>Legal and Professional Expense</v>
          </cell>
        </row>
        <row r="20">
          <cell r="A20" t="str">
            <v>Meals and Entertainment - Client or Consultant</v>
          </cell>
        </row>
        <row r="21">
          <cell r="A21" t="str">
            <v>Meals and Entertainment - Other</v>
          </cell>
        </row>
        <row r="22">
          <cell r="A22" t="str">
            <v>Meals and Entertainment - Staff</v>
          </cell>
        </row>
        <row r="23">
          <cell r="A23" t="str">
            <v>Miscellaneous Expense</v>
          </cell>
        </row>
        <row r="24">
          <cell r="A24" t="str">
            <v>Office Supplies</v>
          </cell>
        </row>
        <row r="25">
          <cell r="A25" t="str">
            <v>Postage and Delivery</v>
          </cell>
        </row>
        <row r="26">
          <cell r="A26" t="str">
            <v>Printing and Reproduction</v>
          </cell>
        </row>
        <row r="27">
          <cell r="A27" t="str">
            <v>Professional Fees</v>
          </cell>
        </row>
        <row r="28">
          <cell r="A28" t="str">
            <v>Repairs and Maintenance</v>
          </cell>
        </row>
        <row r="29">
          <cell r="A29" t="str">
            <v>Telephone Expense</v>
          </cell>
        </row>
        <row r="30">
          <cell r="A30" t="str">
            <v>Travel Expense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32FF482-AF41-4917-9B48-01F30C3BF206}">
  <we:reference id="fa000000124" version="1.2.2412.15011" store="en-US" storeType="SdxCatalog"/>
  <we:alternateReferences/>
  <we:properties>
    <we:property name="msgToExcel" value="{&quot;cmdType&quot;:&quot;OnLoad&quot;}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"/>
  <sheetViews>
    <sheetView topLeftCell="D1" workbookViewId="0">
      <selection activeCell="I2" sqref="I2:J8"/>
    </sheetView>
  </sheetViews>
  <sheetFormatPr defaultColWidth="8.6640625" defaultRowHeight="13.2" x14ac:dyDescent="0.25"/>
  <cols>
    <col min="1" max="1" width="50.6640625" bestFit="1" customWidth="1"/>
    <col min="2" max="4" width="50.6640625" customWidth="1"/>
    <col min="7" max="7" width="11.44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3.8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1</v>
      </c>
      <c r="G2" s="1" t="s">
        <v>15</v>
      </c>
      <c r="H2" s="1">
        <v>2006</v>
      </c>
      <c r="I2" s="1">
        <v>1</v>
      </c>
      <c r="J2" s="1" t="s">
        <v>16</v>
      </c>
    </row>
    <row r="3" spans="1:10" ht="13.8" x14ac:dyDescent="0.25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>
        <v>2</v>
      </c>
      <c r="G3" s="1" t="s">
        <v>22</v>
      </c>
      <c r="H3" s="1">
        <v>2007</v>
      </c>
      <c r="I3" s="1">
        <v>2</v>
      </c>
      <c r="J3" s="1" t="s">
        <v>23</v>
      </c>
    </row>
    <row r="4" spans="1:10" ht="13.8" x14ac:dyDescent="0.25">
      <c r="B4" t="s">
        <v>24</v>
      </c>
      <c r="C4" s="1" t="s">
        <v>25</v>
      </c>
      <c r="D4" t="s">
        <v>26</v>
      </c>
      <c r="E4" s="1" t="s">
        <v>27</v>
      </c>
      <c r="F4" s="1">
        <v>3</v>
      </c>
      <c r="H4" s="1">
        <v>2008</v>
      </c>
      <c r="I4" s="1">
        <v>3</v>
      </c>
      <c r="J4" s="1" t="s">
        <v>28</v>
      </c>
    </row>
    <row r="5" spans="1:10" ht="13.8" x14ac:dyDescent="0.25">
      <c r="C5" s="1" t="s">
        <v>29</v>
      </c>
      <c r="D5" t="s">
        <v>30</v>
      </c>
      <c r="E5" s="1" t="s">
        <v>31</v>
      </c>
      <c r="F5" s="1">
        <v>4</v>
      </c>
      <c r="H5" s="1">
        <v>2009</v>
      </c>
      <c r="I5" s="1">
        <v>4</v>
      </c>
      <c r="J5" s="1" t="s">
        <v>32</v>
      </c>
    </row>
    <row r="6" spans="1:10" ht="13.8" x14ac:dyDescent="0.25">
      <c r="C6" s="1" t="s">
        <v>33</v>
      </c>
      <c r="D6" t="s">
        <v>34</v>
      </c>
      <c r="E6" s="1" t="s">
        <v>35</v>
      </c>
      <c r="F6" s="1">
        <v>5</v>
      </c>
      <c r="H6" s="1">
        <v>2010</v>
      </c>
      <c r="I6" s="1">
        <v>5</v>
      </c>
      <c r="J6" s="1" t="s">
        <v>36</v>
      </c>
    </row>
    <row r="7" spans="1:10" ht="13.8" x14ac:dyDescent="0.25">
      <c r="C7" s="1" t="s">
        <v>37</v>
      </c>
      <c r="D7" t="s">
        <v>38</v>
      </c>
      <c r="E7" s="1" t="s">
        <v>39</v>
      </c>
      <c r="F7" s="1">
        <v>6</v>
      </c>
      <c r="I7" s="1">
        <v>6</v>
      </c>
      <c r="J7" s="1" t="s">
        <v>40</v>
      </c>
    </row>
    <row r="8" spans="1:10" ht="13.8" x14ac:dyDescent="0.25">
      <c r="C8" s="1" t="s">
        <v>41</v>
      </c>
      <c r="D8" t="s">
        <v>42</v>
      </c>
      <c r="E8" s="1" t="s">
        <v>43</v>
      </c>
      <c r="F8" s="1">
        <v>7</v>
      </c>
      <c r="I8" s="1">
        <v>7</v>
      </c>
      <c r="J8" s="1" t="s">
        <v>44</v>
      </c>
    </row>
    <row r="9" spans="1:10" ht="13.8" x14ac:dyDescent="0.25">
      <c r="C9" s="1" t="s">
        <v>45</v>
      </c>
      <c r="D9" t="s">
        <v>46</v>
      </c>
      <c r="E9" s="1" t="s">
        <v>47</v>
      </c>
      <c r="F9" s="1">
        <v>8</v>
      </c>
    </row>
    <row r="10" spans="1:10" ht="13.8" x14ac:dyDescent="0.25">
      <c r="C10" s="1" t="s">
        <v>48</v>
      </c>
      <c r="D10" t="s">
        <v>49</v>
      </c>
      <c r="E10" s="1" t="s">
        <v>50</v>
      </c>
      <c r="F10" s="1">
        <v>9</v>
      </c>
    </row>
    <row r="11" spans="1:10" ht="13.8" x14ac:dyDescent="0.25">
      <c r="C11" s="1" t="s">
        <v>51</v>
      </c>
      <c r="D11" t="s">
        <v>52</v>
      </c>
      <c r="E11" s="1" t="s">
        <v>53</v>
      </c>
      <c r="F11" s="1">
        <v>10</v>
      </c>
    </row>
    <row r="12" spans="1:10" ht="13.8" x14ac:dyDescent="0.25">
      <c r="C12" s="1" t="s">
        <v>54</v>
      </c>
      <c r="D12" t="s">
        <v>55</v>
      </c>
      <c r="E12" s="1" t="s">
        <v>56</v>
      </c>
      <c r="F12" s="1">
        <v>11</v>
      </c>
    </row>
    <row r="13" spans="1:10" ht="13.8" x14ac:dyDescent="0.25">
      <c r="C13" s="1" t="s">
        <v>57</v>
      </c>
      <c r="D13" t="s">
        <v>58</v>
      </c>
      <c r="E13" s="1" t="s">
        <v>59</v>
      </c>
      <c r="F13" s="1">
        <v>12</v>
      </c>
    </row>
    <row r="14" spans="1:10" ht="13.8" x14ac:dyDescent="0.25">
      <c r="C14" s="1" t="s">
        <v>60</v>
      </c>
      <c r="D14" t="s">
        <v>61</v>
      </c>
    </row>
    <row r="15" spans="1:10" ht="13.8" x14ac:dyDescent="0.25">
      <c r="C15" s="1" t="s">
        <v>62</v>
      </c>
      <c r="D15" t="s">
        <v>63</v>
      </c>
    </row>
    <row r="16" spans="1:10" ht="13.8" x14ac:dyDescent="0.25">
      <c r="C16" s="1" t="s">
        <v>64</v>
      </c>
      <c r="D16" t="s">
        <v>65</v>
      </c>
    </row>
    <row r="17" spans="3:4" ht="13.8" x14ac:dyDescent="0.25">
      <c r="C17" s="1" t="s">
        <v>66</v>
      </c>
      <c r="D17" t="s">
        <v>67</v>
      </c>
    </row>
    <row r="18" spans="3:4" ht="13.8" x14ac:dyDescent="0.25">
      <c r="C18" s="1" t="s">
        <v>68</v>
      </c>
      <c r="D18" t="s">
        <v>69</v>
      </c>
    </row>
    <row r="19" spans="3:4" ht="13.8" x14ac:dyDescent="0.25">
      <c r="C19" s="1" t="s">
        <v>70</v>
      </c>
      <c r="D19" t="s">
        <v>71</v>
      </c>
    </row>
    <row r="20" spans="3:4" ht="13.8" x14ac:dyDescent="0.25">
      <c r="C20" s="1" t="s">
        <v>72</v>
      </c>
      <c r="D20" t="s">
        <v>73</v>
      </c>
    </row>
    <row r="21" spans="3:4" ht="13.8" x14ac:dyDescent="0.25">
      <c r="C21" s="1" t="s">
        <v>74</v>
      </c>
      <c r="D21" t="s">
        <v>75</v>
      </c>
    </row>
    <row r="22" spans="3:4" ht="13.8" x14ac:dyDescent="0.25">
      <c r="C22" s="1" t="s">
        <v>76</v>
      </c>
      <c r="D22" t="s">
        <v>77</v>
      </c>
    </row>
    <row r="23" spans="3:4" ht="13.8" x14ac:dyDescent="0.25">
      <c r="C23" s="1" t="s">
        <v>78</v>
      </c>
      <c r="D23" t="s">
        <v>79</v>
      </c>
    </row>
    <row r="24" spans="3:4" ht="13.8" x14ac:dyDescent="0.25">
      <c r="C24" s="1" t="s">
        <v>80</v>
      </c>
      <c r="D24" t="s">
        <v>81</v>
      </c>
    </row>
    <row r="25" spans="3:4" ht="13.8" x14ac:dyDescent="0.25">
      <c r="C25" s="1" t="s">
        <v>82</v>
      </c>
      <c r="D25" t="s">
        <v>83</v>
      </c>
    </row>
    <row r="26" spans="3:4" ht="13.8" x14ac:dyDescent="0.25">
      <c r="C26" s="1" t="s">
        <v>84</v>
      </c>
      <c r="D26" t="s">
        <v>85</v>
      </c>
    </row>
    <row r="27" spans="3:4" ht="13.8" x14ac:dyDescent="0.25">
      <c r="C27" s="1" t="s">
        <v>86</v>
      </c>
      <c r="D27" t="s">
        <v>87</v>
      </c>
    </row>
    <row r="28" spans="3:4" ht="13.8" x14ac:dyDescent="0.25">
      <c r="C28" s="1" t="s">
        <v>88</v>
      </c>
      <c r="D28" t="s">
        <v>89</v>
      </c>
    </row>
    <row r="29" spans="3:4" ht="13.8" x14ac:dyDescent="0.25">
      <c r="C29" s="1" t="s">
        <v>90</v>
      </c>
      <c r="D29" t="s">
        <v>91</v>
      </c>
    </row>
    <row r="30" spans="3:4" ht="13.8" x14ac:dyDescent="0.25">
      <c r="C30" s="1" t="s">
        <v>92</v>
      </c>
      <c r="D30" t="s">
        <v>93</v>
      </c>
    </row>
    <row r="31" spans="3:4" ht="13.8" x14ac:dyDescent="0.25">
      <c r="C31" s="1" t="s">
        <v>94</v>
      </c>
      <c r="D31" t="s">
        <v>95</v>
      </c>
    </row>
    <row r="32" spans="3:4" x14ac:dyDescent="0.25">
      <c r="D32" t="s">
        <v>96</v>
      </c>
    </row>
    <row r="33" spans="4:4" x14ac:dyDescent="0.25">
      <c r="D33" t="s">
        <v>97</v>
      </c>
    </row>
    <row r="34" spans="4:4" x14ac:dyDescent="0.25">
      <c r="D34" t="s">
        <v>98</v>
      </c>
    </row>
    <row r="35" spans="4:4" x14ac:dyDescent="0.25">
      <c r="D35" t="s">
        <v>99</v>
      </c>
    </row>
    <row r="36" spans="4:4" x14ac:dyDescent="0.25">
      <c r="D36" t="s">
        <v>100</v>
      </c>
    </row>
    <row r="37" spans="4:4" x14ac:dyDescent="0.25">
      <c r="D37" t="s">
        <v>101</v>
      </c>
    </row>
    <row r="38" spans="4:4" x14ac:dyDescent="0.25">
      <c r="D38" t="s">
        <v>102</v>
      </c>
    </row>
    <row r="39" spans="4:4" x14ac:dyDescent="0.25">
      <c r="D39" t="s">
        <v>103</v>
      </c>
    </row>
  </sheetData>
  <phoneticPr fontId="0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M27"/>
  <sheetViews>
    <sheetView tabSelected="1" topLeftCell="C1" zoomScaleNormal="100" workbookViewId="0">
      <selection activeCell="E9" sqref="E9"/>
    </sheetView>
  </sheetViews>
  <sheetFormatPr defaultColWidth="0" defaultRowHeight="16.5" customHeight="1" x14ac:dyDescent="0.25"/>
  <cols>
    <col min="1" max="2" width="7.33203125" hidden="1" customWidth="1"/>
    <col min="3" max="9" width="14.6640625" customWidth="1"/>
    <col min="10" max="10" width="13.6640625" customWidth="1"/>
    <col min="11" max="11" width="14" bestFit="1" customWidth="1"/>
    <col min="12" max="12" width="16" bestFit="1" customWidth="1"/>
    <col min="13" max="19" width="16" customWidth="1"/>
    <col min="20" max="20" width="7.6640625" customWidth="1"/>
    <col min="21" max="21" width="0.44140625" customWidth="1"/>
    <col min="22" max="247" width="7.33203125" hidden="1" customWidth="1"/>
  </cols>
  <sheetData>
    <row r="1" spans="3:10" ht="16.5" customHeight="1" x14ac:dyDescent="0.25">
      <c r="C1" s="37" t="s">
        <v>116</v>
      </c>
      <c r="D1" s="37"/>
      <c r="E1" s="37"/>
      <c r="F1" s="37"/>
      <c r="G1" s="37"/>
      <c r="H1" s="37"/>
      <c r="I1" s="37"/>
      <c r="J1" s="37"/>
    </row>
    <row r="2" spans="3:10" ht="16.5" customHeight="1" x14ac:dyDescent="0.25">
      <c r="C2" s="23"/>
      <c r="D2" s="23" t="s">
        <v>104</v>
      </c>
      <c r="E2" s="16" t="s">
        <v>105</v>
      </c>
      <c r="F2" s="24"/>
      <c r="G2" s="24"/>
      <c r="H2" s="25"/>
      <c r="I2" s="25"/>
      <c r="J2" s="26"/>
    </row>
    <row r="3" spans="3:10" ht="16.5" customHeight="1" x14ac:dyDescent="0.25">
      <c r="C3" s="27"/>
      <c r="D3" s="27"/>
      <c r="E3" s="28"/>
      <c r="F3" s="28"/>
      <c r="G3" s="28"/>
      <c r="H3" s="27"/>
      <c r="I3" s="27"/>
      <c r="J3" s="23"/>
    </row>
    <row r="4" spans="3:10" ht="16.5" customHeight="1" x14ac:dyDescent="0.25">
      <c r="C4" s="23"/>
      <c r="D4" s="23" t="s">
        <v>106</v>
      </c>
      <c r="E4" s="18" t="s">
        <v>107</v>
      </c>
      <c r="F4" s="24"/>
      <c r="G4" s="24"/>
      <c r="H4" s="25"/>
      <c r="I4" s="25"/>
      <c r="J4" s="26"/>
    </row>
    <row r="5" spans="3:10" ht="16.5" customHeight="1" x14ac:dyDescent="0.25">
      <c r="C5" s="23"/>
      <c r="D5" s="23"/>
      <c r="E5" s="29"/>
      <c r="F5" s="30"/>
      <c r="G5" s="30"/>
      <c r="H5" s="27"/>
      <c r="I5" s="27"/>
      <c r="J5" s="23"/>
    </row>
    <row r="6" spans="3:10" ht="16.5" customHeight="1" x14ac:dyDescent="0.25">
      <c r="C6" s="23"/>
      <c r="D6" s="23" t="s">
        <v>108</v>
      </c>
      <c r="E6" s="17" t="s">
        <v>109</v>
      </c>
      <c r="F6" s="24"/>
      <c r="G6" s="24"/>
      <c r="H6" s="25"/>
      <c r="I6" s="25"/>
      <c r="J6" s="26"/>
    </row>
    <row r="7" spans="3:10" ht="16.5" customHeight="1" x14ac:dyDescent="0.25">
      <c r="C7" s="27"/>
      <c r="D7" s="27"/>
      <c r="E7" s="28"/>
      <c r="F7" s="28"/>
      <c r="G7" s="28"/>
      <c r="H7" s="27"/>
      <c r="I7" s="27"/>
      <c r="J7" s="23"/>
    </row>
    <row r="8" spans="3:10" ht="16.5" customHeight="1" x14ac:dyDescent="0.25">
      <c r="C8" s="23"/>
      <c r="D8" s="23" t="s">
        <v>110</v>
      </c>
      <c r="E8" s="17">
        <v>46131</v>
      </c>
      <c r="F8" s="24" t="s">
        <v>111</v>
      </c>
      <c r="G8" s="24"/>
      <c r="H8" s="25"/>
      <c r="I8" s="25"/>
      <c r="J8" s="26"/>
    </row>
    <row r="9" spans="3:10" ht="16.5" customHeight="1" x14ac:dyDescent="0.25">
      <c r="C9" s="28"/>
      <c r="D9" s="30"/>
      <c r="E9" s="28"/>
      <c r="F9" s="28"/>
      <c r="G9" s="28"/>
      <c r="H9" s="27"/>
      <c r="I9" s="27"/>
      <c r="J9" s="27"/>
    </row>
    <row r="10" spans="3:10" ht="41.25" customHeight="1" x14ac:dyDescent="0.25">
      <c r="C10" s="21">
        <f>$E$8-6</f>
        <v>46125</v>
      </c>
      <c r="D10" s="21">
        <f>$E$8-5</f>
        <v>46126</v>
      </c>
      <c r="E10" s="21">
        <f>$E$8-4</f>
        <v>46127</v>
      </c>
      <c r="F10" s="21">
        <f>$E$8-3</f>
        <v>46128</v>
      </c>
      <c r="G10" s="21">
        <f>$E$8-2</f>
        <v>46129</v>
      </c>
      <c r="H10" s="21">
        <f>$E$8-1</f>
        <v>46130</v>
      </c>
      <c r="I10" s="21">
        <f>$E$8-0</f>
        <v>46131</v>
      </c>
      <c r="J10" s="19" t="s">
        <v>112</v>
      </c>
    </row>
    <row r="11" spans="3:10" ht="14.4" x14ac:dyDescent="0.25">
      <c r="C11" s="22">
        <f>$E$8-6</f>
        <v>46125</v>
      </c>
      <c r="D11" s="22">
        <f>$E$8-5</f>
        <v>46126</v>
      </c>
      <c r="E11" s="22">
        <f>$E$8-4</f>
        <v>46127</v>
      </c>
      <c r="F11" s="22">
        <f>$E$8-3</f>
        <v>46128</v>
      </c>
      <c r="G11" s="22">
        <f>$E$8-2</f>
        <v>46129</v>
      </c>
      <c r="H11" s="22">
        <f>$E$8-1</f>
        <v>46130</v>
      </c>
      <c r="I11" s="22">
        <f>E8</f>
        <v>46131</v>
      </c>
      <c r="J11" s="20"/>
    </row>
    <row r="12" spans="3:10" ht="16.5" customHeight="1" x14ac:dyDescent="0.25">
      <c r="C12" s="31">
        <v>8</v>
      </c>
      <c r="D12" s="12">
        <v>8</v>
      </c>
      <c r="E12" s="12">
        <v>8</v>
      </c>
      <c r="F12" s="12">
        <v>8</v>
      </c>
      <c r="G12" s="13">
        <v>8</v>
      </c>
      <c r="H12" s="15">
        <v>0</v>
      </c>
      <c r="I12" s="15">
        <v>0</v>
      </c>
      <c r="J12" s="32">
        <f>SUM(A12:I12)</f>
        <v>40</v>
      </c>
    </row>
    <row r="13" spans="3:10" ht="16.5" customHeight="1" x14ac:dyDescent="0.25">
      <c r="C13" s="33"/>
      <c r="D13" s="34"/>
      <c r="E13" s="34"/>
      <c r="F13" s="11"/>
      <c r="G13" s="11"/>
      <c r="H13" s="14"/>
      <c r="I13" s="14"/>
      <c r="J13" s="32">
        <f t="shared" ref="J13:J18" si="0">SUM(A13:I13)</f>
        <v>0</v>
      </c>
    </row>
    <row r="14" spans="3:10" ht="16.5" customHeight="1" x14ac:dyDescent="0.25">
      <c r="C14" s="33"/>
      <c r="D14" s="34"/>
      <c r="E14" s="34"/>
      <c r="F14" s="11"/>
      <c r="G14" s="11"/>
      <c r="H14" s="14"/>
      <c r="I14" s="14"/>
      <c r="J14" s="32">
        <f t="shared" si="0"/>
        <v>0</v>
      </c>
    </row>
    <row r="15" spans="3:10" ht="16.5" customHeight="1" x14ac:dyDescent="0.25">
      <c r="C15" s="33"/>
      <c r="D15" s="34"/>
      <c r="E15" s="34"/>
      <c r="F15" s="11"/>
      <c r="G15" s="11"/>
      <c r="H15" s="14"/>
      <c r="I15" s="14"/>
      <c r="J15" s="32">
        <f t="shared" si="0"/>
        <v>0</v>
      </c>
    </row>
    <row r="16" spans="3:10" ht="16.5" customHeight="1" x14ac:dyDescent="0.25">
      <c r="C16" s="33"/>
      <c r="D16" s="34"/>
      <c r="E16" s="34"/>
      <c r="F16" s="11"/>
      <c r="G16" s="11"/>
      <c r="H16" s="14"/>
      <c r="I16" s="14"/>
      <c r="J16" s="32">
        <f t="shared" si="0"/>
        <v>0</v>
      </c>
    </row>
    <row r="17" spans="3:10" ht="16.5" customHeight="1" x14ac:dyDescent="0.25">
      <c r="C17" s="33"/>
      <c r="D17" s="34"/>
      <c r="E17" s="34"/>
      <c r="F17" s="11"/>
      <c r="G17" s="11"/>
      <c r="H17" s="14"/>
      <c r="I17" s="14"/>
      <c r="J17" s="32">
        <f t="shared" si="0"/>
        <v>0</v>
      </c>
    </row>
    <row r="18" spans="3:10" ht="16.5" customHeight="1" x14ac:dyDescent="0.25">
      <c r="C18" s="33"/>
      <c r="D18" s="34"/>
      <c r="E18" s="34"/>
      <c r="F18" s="11"/>
      <c r="G18" s="11"/>
      <c r="H18" s="14"/>
      <c r="I18" s="14"/>
      <c r="J18" s="32">
        <f t="shared" si="0"/>
        <v>0</v>
      </c>
    </row>
    <row r="19" spans="3:10" ht="16.5" customHeight="1" x14ac:dyDescent="0.25">
      <c r="C19" s="35"/>
      <c r="D19" s="36"/>
      <c r="E19" s="36"/>
      <c r="F19" s="36"/>
      <c r="G19" s="36"/>
      <c r="H19" s="36"/>
      <c r="I19" s="36"/>
      <c r="J19" s="36"/>
    </row>
    <row r="20" spans="3:10" ht="16.5" customHeight="1" x14ac:dyDescent="0.25">
      <c r="C20" s="3" t="s">
        <v>113</v>
      </c>
      <c r="D20" s="3"/>
      <c r="E20" s="3"/>
      <c r="F20" s="3"/>
      <c r="G20" s="3"/>
      <c r="H20" s="4"/>
      <c r="I20" s="4"/>
    </row>
    <row r="21" spans="3:10" ht="16.5" customHeight="1" x14ac:dyDescent="0.25">
      <c r="C21" s="2"/>
      <c r="D21" s="2"/>
      <c r="E21" s="2"/>
      <c r="F21" s="2"/>
      <c r="G21" s="2"/>
      <c r="H21" s="2"/>
      <c r="I21" s="2"/>
      <c r="J21" s="7"/>
    </row>
    <row r="22" spans="3:10" ht="12" customHeight="1" x14ac:dyDescent="0.25">
      <c r="C22" s="5" t="s">
        <v>105</v>
      </c>
      <c r="D22" s="5"/>
      <c r="E22" s="5"/>
      <c r="F22" s="5"/>
      <c r="G22" s="5"/>
      <c r="H22" s="6"/>
      <c r="I22" s="4"/>
      <c r="J22" s="7"/>
    </row>
    <row r="23" spans="3:10" ht="16.5" customHeight="1" x14ac:dyDescent="0.25">
      <c r="C23" s="3" t="s">
        <v>114</v>
      </c>
      <c r="D23" s="3"/>
      <c r="E23" s="3"/>
      <c r="F23" s="3"/>
      <c r="G23" s="3"/>
      <c r="H23" s="4"/>
      <c r="I23" s="4"/>
      <c r="J23" s="8"/>
    </row>
    <row r="24" spans="3:10" ht="16.5" customHeight="1" x14ac:dyDescent="0.25">
      <c r="C24" s="2"/>
      <c r="D24" s="2"/>
      <c r="E24" s="2"/>
      <c r="F24" s="2"/>
      <c r="G24" s="2"/>
      <c r="H24" s="2"/>
      <c r="I24" s="2"/>
      <c r="J24" s="9"/>
    </row>
    <row r="25" spans="3:10" ht="12" customHeight="1" x14ac:dyDescent="0.25">
      <c r="C25" s="5"/>
      <c r="D25" s="5"/>
      <c r="E25" s="5"/>
      <c r="F25" s="5"/>
      <c r="G25" s="5"/>
      <c r="H25" s="6"/>
      <c r="I25" s="4"/>
      <c r="J25" s="10"/>
    </row>
    <row r="26" spans="3:10" ht="16.5" customHeight="1" x14ac:dyDescent="0.25">
      <c r="C26" s="3" t="s">
        <v>115</v>
      </c>
      <c r="D26" s="3"/>
      <c r="E26" s="3"/>
      <c r="F26" s="3"/>
      <c r="G26" s="3"/>
      <c r="H26" s="4"/>
      <c r="I26" s="4"/>
      <c r="J26" s="9"/>
    </row>
    <row r="27" spans="3:10" ht="16.5" customHeight="1" x14ac:dyDescent="0.25">
      <c r="C27" s="2"/>
      <c r="D27" s="2"/>
      <c r="E27" s="2"/>
      <c r="F27" s="2"/>
      <c r="G27" s="2"/>
      <c r="H27" s="2"/>
      <c r="I27" s="2"/>
      <c r="J27" s="10"/>
    </row>
  </sheetData>
  <mergeCells count="2">
    <mergeCell ref="C19:J19"/>
    <mergeCell ref="C1:J1"/>
  </mergeCells>
  <phoneticPr fontId="0" type="noConversion"/>
  <conditionalFormatting sqref="E17:E27">
    <cfRule type="cellIs" dxfId="6" priority="12" stopIfTrue="1" operator="equal">
      <formula>"Ignore this field / only good for Internal Activities"</formula>
    </cfRule>
    <cfRule type="cellIs" dxfId="5" priority="13" stopIfTrue="1" operator="equal">
      <formula>"Enter Internal Activity Here"</formula>
    </cfRule>
  </conditionalFormatting>
  <conditionalFormatting sqref="F19:G27">
    <cfRule type="cellIs" dxfId="4" priority="10" stopIfTrue="1" operator="equal">
      <formula>"Enter Client Code Here"</formula>
    </cfRule>
    <cfRule type="cellIs" dxfId="3" priority="11" stopIfTrue="1" operator="equal">
      <formula>"Ignore this field / only good Coded Activities"</formula>
    </cfRule>
  </conditionalFormatting>
  <conditionalFormatting sqref="H19:I27">
    <cfRule type="cellIs" dxfId="2" priority="8" stopIfTrue="1" operator="equal">
      <formula>"Enter Client Task Name Here"</formula>
    </cfRule>
    <cfRule type="cellIs" dxfId="1" priority="9" stopIfTrue="1" operator="equal">
      <formula>"Ignore this field / only good Coded Activities"</formula>
    </cfRule>
  </conditionalFormatting>
  <conditionalFormatting sqref="J19 J21:J27">
    <cfRule type="expression" dxfId="0" priority="14" stopIfTrue="1">
      <formula>AND(NOT($D19=""),LEFT(J19,6)="Choose")</formula>
    </cfRule>
  </conditionalFormatting>
  <pageMargins left="0.75" right="0.75" top="1" bottom="1" header="0.5" footer="0.5"/>
  <pageSetup fitToHeight="0" orientation="landscape" blackAndWhite="1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8</vt:i4>
      </vt:variant>
    </vt:vector>
  </HeadingPairs>
  <TitlesOfParts>
    <vt:vector size="10" baseType="lpstr">
      <vt:lpstr>Lists</vt:lpstr>
      <vt:lpstr>Timesheet</vt:lpstr>
      <vt:lpstr>ExpenseType</vt:lpstr>
      <vt:lpstr>InternalActivity</vt:lpstr>
      <vt:lpstr>Month</vt:lpstr>
      <vt:lpstr>PaymentMethod</vt:lpstr>
      <vt:lpstr>Period</vt:lpstr>
      <vt:lpstr>Timesheet!Print_Area</vt:lpstr>
      <vt:lpstr>WorkType</vt:lpstr>
      <vt:lpstr>Year</vt:lpstr>
    </vt:vector>
  </TitlesOfParts>
  <Manager/>
  <Company>Infosys Technologies Ltd.,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anil_kumar</dc:creator>
  <cp:keywords/>
  <dc:description/>
  <cp:lastModifiedBy>Ross Nanton</cp:lastModifiedBy>
  <cp:revision/>
  <cp:lastPrinted>2026-04-20T18:57:40Z</cp:lastPrinted>
  <dcterms:created xsi:type="dcterms:W3CDTF">2004-06-08T08:18:25Z</dcterms:created>
  <dcterms:modified xsi:type="dcterms:W3CDTF">2026-04-26T22:22:05Z</dcterms:modified>
  <cp:category/>
  <cp:contentStatus/>
</cp:coreProperties>
</file>